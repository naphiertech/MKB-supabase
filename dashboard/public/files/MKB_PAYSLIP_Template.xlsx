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<sst xmlns="http://schemas.openxmlformats.org/spreadsheetml/2006/main" count="34" uniqueCount="30">
  <si>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MKB</t>
  </si>
  <si>
    <t xml:space="preserve">In Partnership with Shopee Express</t>
  </si>
  <si>
    <t xml:space="preserve">Riders Name: </t>
  </si>
  <si>
    <t xml:space="preserve">Pay period</t>
  </si>
  <si>
    <t xml:space="preserve">Dummy Account:</t>
  </si>
  <si>
    <t xml:space="preserve">From:</t>
  </si>
  <si>
    <t xml:space="preserve">ATM Number:</t>
  </si>
  <si>
    <t xml:space="preserve">To:</t>
  </si>
  <si>
    <t xml:space="preserve">Day</t>
  </si>
  <si>
    <t xml:space="preserve">Date</t>
  </si>
  <si>
    <t xml:space="preserve">&lt; 8:00</t>
  </si>
  <si>
    <t xml:space="preserve">8:00 - 9:00</t>
  </si>
  <si>
    <t xml:space="preserve">&gt; 9:00</t>
  </si>
  <si>
    <t xml:space="preserve">TOTAL</t>
  </si>
  <si>
    <t xml:space="preserve">B</t>
  </si>
  <si>
    <t xml:space="preserve">S</t>
  </si>
  <si>
    <t xml:space="preserve">Sub Total</t>
  </si>
  <si>
    <t xml:space="preserve">Other Earnings</t>
  </si>
  <si>
    <t xml:space="preserve">FM Pick Up:</t>
  </si>
  <si>
    <t xml:space="preserve">Deductions:</t>
  </si>
  <si>
    <t xml:space="preserve">Late Onhold / FM:</t>
  </si>
  <si>
    <t xml:space="preserve">Floating Orders (HR):</t>
  </si>
  <si>
    <t xml:space="preserve">Late Remittance:</t>
  </si>
  <si>
    <t xml:space="preserve">Absent w/o prior notice:</t>
  </si>
  <si>
    <t xml:space="preserve">Credited to ATM Account:</t>
  </si>
  <si>
    <t xml:space="preserve">TOTAL:</t>
  </si>
  <si>
    <t xml:space="preserve">Requirements:</t>
  </si>
  <si>
    <t xml:space="preserve">Payment Status:</t>
  </si>
  <si>
    <t xml:space="preserve">Dummy Authz:</t>
  </si>
  <si>
    <t xml:space="preserve">Hold Reason: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</si>
</sst>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m/d/yyyy"/>
    <numFmt numFmtId="167" formatCode="General"/>
    <numFmt numFmtId="168" formatCode="_(* #,##0.00_);_(* \(#,##0.00\);_(* \-??_);_(@_)"/>
    <numFmt numFmtId="169" formatCode="[$₱]#,##0.00"/>
    <numFmt numFmtId="170" formatCode="#,##0.00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5"/>
      <color rgb="FF1C4587"/>
      <name val="Arial"/>
      <family val="0"/>
      <charset val="1"/>
    </font>
    <font>
      <b val="true"/>
      <sz val="12"/>
      <color rgb="FFFF9900"/>
      <name val="Comfortaa"/>
      <family val="0"/>
      <charset val="1"/>
    </font>
    <font>
      <sz val="11"/>
      <color rgb="FF262626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262626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i val="true"/>
      <sz val="11"/>
      <color rgb="FF262626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4"/>
      <color rgb="FF262626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E2EFD9"/>
      </patternFill>
    </fill>
    <fill>
      <patternFill patternType="solid">
        <fgColor rgb="FFFBE4D5"/>
        <bgColor rgb="FFFFF2CC"/>
      </patternFill>
    </fill>
    <fill>
      <patternFill patternType="solid">
        <fgColor rgb="FFE2EFD9"/>
        <bgColor rgb="FFDEEAF6"/>
      </patternFill>
    </fill>
    <fill>
      <patternFill patternType="solid">
        <fgColor rgb="FFBFBFBF"/>
        <bgColor rgb="FFB7B7B7"/>
      </patternFill>
    </fill>
    <fill>
      <patternFill patternType="solid">
        <fgColor rgb="FFF3F3F3"/>
        <bgColor rgb="FFFFFFFF"/>
      </patternFill>
    </fill>
    <fill>
      <patternFill patternType="solid">
        <fgColor rgb="FFFFE599"/>
        <bgColor rgb="FFFFF2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/>
      <bottom/>
      <diagonal/>
    </border>
    <border diagonalUp="false" diagonalDown="false">
      <left style="thin">
        <color rgb="FFB7B7B7"/>
      </left>
      <right style="medium"/>
      <top style="thin"/>
      <bottom style="thin">
        <color rgb="FFB7B7B7"/>
      </bottom>
      <diagonal/>
    </border>
    <border diagonalUp="false" diagonalDown="false">
      <left style="medium"/>
      <right/>
      <top style="thin">
        <color rgb="FFB7B7B7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 style="medium"/>
      <top/>
      <bottom style="thin">
        <color rgb="FFB7B7B7"/>
      </bottom>
      <diagonal/>
    </border>
    <border diagonalUp="false" diagonalDown="false">
      <left style="medium"/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 diagonalUp="false" diagonalDown="false">
      <left style="thin">
        <color rgb="FFB7B7B7"/>
      </left>
      <right style="medium"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medium"/>
      <top/>
      <bottom/>
      <diagonal/>
    </border>
    <border diagonalUp="false" diagonalDown="false">
      <left style="thin"/>
      <right style="medium"/>
      <top style="double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7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2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7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2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2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2" borderId="2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0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2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8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8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8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9" borderId="3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2" borderId="3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4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E2EFD9"/>
      <rgbColor rgb="FFFBE4D5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1C4587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4.75"/>
    <col collapsed="false" customWidth="true" hidden="false" outlineLevel="0" max="15" min="4" style="0" width="4.88"/>
    <col collapsed="false" customWidth="true" hidden="false" outlineLevel="0" max="16" min="16" style="0" width="5.63"/>
  </cols>
  <sheetData>
    <row r="1" customFormat="false" ht="20.25" hidden="false" customHeight="true" outlineLevel="0" collapsed="false"/>
    <row r="2" customFormat="false" ht="42.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.7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.75" hidden="false" customHeight="false" outlineLevel="0" collapsed="false">
      <c r="B4" s="3" t="s">
        <v>2</v>
      </c>
      <c r="C4" s="4"/>
      <c r="D4" s="4"/>
      <c r="E4" s="4"/>
      <c r="F4" s="4"/>
      <c r="G4" s="4"/>
      <c r="H4" s="4"/>
      <c r="I4" s="4"/>
      <c r="J4" s="5" t="s">
        <v>3</v>
      </c>
      <c r="K4" s="5"/>
      <c r="L4" s="5"/>
      <c r="M4" s="5"/>
      <c r="N4" s="5"/>
      <c r="O4" s="5"/>
      <c r="P4" s="5"/>
    </row>
    <row r="5" customFormat="false" ht="15.75" hidden="false" customHeight="false" outlineLevel="0" collapsed="false">
      <c r="B5" s="6" t="s">
        <v>4</v>
      </c>
      <c r="C5" s="7"/>
      <c r="D5" s="7"/>
      <c r="E5" s="7"/>
      <c r="F5" s="7"/>
      <c r="G5" s="7"/>
      <c r="H5" s="7"/>
      <c r="I5" s="7"/>
      <c r="J5" s="8" t="s">
        <v>5</v>
      </c>
      <c r="K5" s="8"/>
      <c r="L5" s="9" t="n">
        <f aca="false">C9</f>
        <v>0</v>
      </c>
      <c r="M5" s="9"/>
      <c r="N5" s="9"/>
      <c r="O5" s="9"/>
      <c r="P5" s="9"/>
    </row>
    <row r="6" customFormat="false" ht="15.75" hidden="false" customHeight="false" outlineLevel="0" collapsed="false">
      <c r="B6" s="10" t="s">
        <v>6</v>
      </c>
      <c r="C6" s="11" t="n">
        <v>0</v>
      </c>
      <c r="D6" s="11"/>
      <c r="E6" s="11"/>
      <c r="F6" s="11"/>
      <c r="G6" s="11"/>
      <c r="H6" s="11"/>
      <c r="I6" s="11"/>
      <c r="J6" s="12" t="s">
        <v>7</v>
      </c>
      <c r="K6" s="12"/>
      <c r="L6" s="13" t="n">
        <f aca="false">C15</f>
        <v>0</v>
      </c>
      <c r="M6" s="13"/>
      <c r="N6" s="13"/>
      <c r="O6" s="13"/>
      <c r="P6" s="13"/>
    </row>
    <row r="7" customFormat="false" ht="15.75" hidden="false" customHeight="true" outlineLevel="0" collapsed="false">
      <c r="B7" s="14" t="s">
        <v>8</v>
      </c>
      <c r="C7" s="15" t="s">
        <v>9</v>
      </c>
      <c r="D7" s="16" t="s">
        <v>10</v>
      </c>
      <c r="E7" s="16"/>
      <c r="F7" s="16"/>
      <c r="G7" s="16"/>
      <c r="H7" s="17" t="s">
        <v>11</v>
      </c>
      <c r="I7" s="17"/>
      <c r="J7" s="17"/>
      <c r="K7" s="17"/>
      <c r="L7" s="18" t="s">
        <v>12</v>
      </c>
      <c r="M7" s="18"/>
      <c r="N7" s="18"/>
      <c r="O7" s="18"/>
      <c r="P7" s="19" t="s">
        <v>13</v>
      </c>
    </row>
    <row r="8" customFormat="false" ht="15.75" hidden="false" customHeight="false" outlineLevel="0" collapsed="false">
      <c r="B8" s="14"/>
      <c r="C8" s="15"/>
      <c r="D8" s="20" t="s">
        <v>14</v>
      </c>
      <c r="E8" s="21" t="n">
        <v>17</v>
      </c>
      <c r="F8" s="22" t="s">
        <v>15</v>
      </c>
      <c r="G8" s="23" t="n">
        <v>12</v>
      </c>
      <c r="H8" s="24" t="s">
        <v>14</v>
      </c>
      <c r="I8" s="21" t="n">
        <v>16</v>
      </c>
      <c r="J8" s="22" t="s">
        <v>15</v>
      </c>
      <c r="K8" s="23" t="n">
        <v>11</v>
      </c>
      <c r="L8" s="24" t="s">
        <v>14</v>
      </c>
      <c r="M8" s="21" t="n">
        <v>15</v>
      </c>
      <c r="N8" s="22" t="s">
        <v>15</v>
      </c>
      <c r="O8" s="23" t="n">
        <v>10</v>
      </c>
      <c r="P8" s="19"/>
    </row>
    <row r="9" customFormat="false" ht="15.75" hidden="false" customHeight="false" outlineLevel="0" collapsed="false">
      <c r="B9" s="25" t="str">
        <f aca="false">TEXT(C9,"dddd")</f>
        <v>Saturday</v>
      </c>
      <c r="C9" s="26"/>
      <c r="D9" s="27" t="n">
        <v>0</v>
      </c>
      <c r="E9" s="28" t="n">
        <f aca="false">D9*E8</f>
        <v>0</v>
      </c>
      <c r="F9" s="29" t="n">
        <v>0</v>
      </c>
      <c r="G9" s="30" t="n">
        <f aca="false">F9*G8</f>
        <v>0</v>
      </c>
      <c r="H9" s="29" t="n">
        <v>0</v>
      </c>
      <c r="I9" s="31" t="n">
        <f aca="false">H9*I8</f>
        <v>0</v>
      </c>
      <c r="J9" s="29" t="n">
        <v>0</v>
      </c>
      <c r="K9" s="32" t="n">
        <f aca="false">J9*K8</f>
        <v>0</v>
      </c>
      <c r="L9" s="27" t="n">
        <v>0</v>
      </c>
      <c r="M9" s="31" t="n">
        <f aca="false">L9*M8</f>
        <v>0</v>
      </c>
      <c r="N9" s="29" t="n">
        <v>0</v>
      </c>
      <c r="O9" s="32" t="n">
        <f aca="false">N9*O8</f>
        <v>0</v>
      </c>
      <c r="P9" s="33" t="n">
        <f aca="false">L9+N9+J9+H9+F9+D9</f>
        <v>0</v>
      </c>
    </row>
    <row r="10" customFormat="false" ht="15.75" hidden="false" customHeight="false" outlineLevel="0" collapsed="false">
      <c r="B10" s="25" t="str">
        <f aca="false">TEXT(C10,"dddd")</f>
        <v>Saturday</v>
      </c>
      <c r="C10" s="26"/>
      <c r="D10" s="27" t="n">
        <v>0</v>
      </c>
      <c r="E10" s="28" t="n">
        <f aca="false">D10*E8</f>
        <v>0</v>
      </c>
      <c r="F10" s="29" t="n">
        <v>0</v>
      </c>
      <c r="G10" s="30" t="n">
        <f aca="false">F10*G8</f>
        <v>0</v>
      </c>
      <c r="H10" s="29" t="n">
        <v>0</v>
      </c>
      <c r="I10" s="31" t="n">
        <f aca="false">H10*I8</f>
        <v>0</v>
      </c>
      <c r="J10" s="29" t="n">
        <v>0</v>
      </c>
      <c r="K10" s="32" t="n">
        <f aca="false">J10*K8</f>
        <v>0</v>
      </c>
      <c r="L10" s="27" t="n">
        <v>0</v>
      </c>
      <c r="M10" s="31" t="n">
        <f aca="false">L10*M8</f>
        <v>0</v>
      </c>
      <c r="N10" s="29" t="n">
        <v>0</v>
      </c>
      <c r="O10" s="32" t="n">
        <f aca="false">N10*O8</f>
        <v>0</v>
      </c>
      <c r="P10" s="33" t="n">
        <f aca="false">L10+N10+J10+H10+F10+D10</f>
        <v>0</v>
      </c>
    </row>
    <row r="11" customFormat="false" ht="15.75" hidden="false" customHeight="false" outlineLevel="0" collapsed="false">
      <c r="B11" s="25" t="str">
        <f aca="false">TEXT(C11,"dddd")</f>
        <v>Saturday</v>
      </c>
      <c r="C11" s="26"/>
      <c r="D11" s="27" t="n">
        <v>0</v>
      </c>
      <c r="E11" s="28" t="n">
        <f aca="false">D11*E8</f>
        <v>0</v>
      </c>
      <c r="F11" s="29" t="n">
        <v>0</v>
      </c>
      <c r="G11" s="32" t="n">
        <f aca="false">F11*G8</f>
        <v>0</v>
      </c>
      <c r="H11" s="29" t="n">
        <v>0</v>
      </c>
      <c r="I11" s="31" t="n">
        <f aca="false">H11*I8</f>
        <v>0</v>
      </c>
      <c r="J11" s="29" t="n">
        <v>0</v>
      </c>
      <c r="K11" s="32" t="n">
        <f aca="false">J11*K8</f>
        <v>0</v>
      </c>
      <c r="L11" s="27" t="n">
        <v>0</v>
      </c>
      <c r="M11" s="31" t="n">
        <f aca="false">L11*M8</f>
        <v>0</v>
      </c>
      <c r="N11" s="29" t="n">
        <v>0</v>
      </c>
      <c r="O11" s="32" t="n">
        <f aca="false">N11*O8</f>
        <v>0</v>
      </c>
      <c r="P11" s="33" t="n">
        <f aca="false">L11+N11+J11+H11+F11+D11</f>
        <v>0</v>
      </c>
    </row>
    <row r="12" customFormat="false" ht="15.75" hidden="false" customHeight="false" outlineLevel="0" collapsed="false">
      <c r="B12" s="25" t="str">
        <f aca="false">TEXT(C12,"dddd")</f>
        <v>Saturday</v>
      </c>
      <c r="C12" s="26"/>
      <c r="D12" s="27" t="n">
        <v>0</v>
      </c>
      <c r="E12" s="28" t="n">
        <f aca="false">D12*E8</f>
        <v>0</v>
      </c>
      <c r="F12" s="29" t="n">
        <v>0</v>
      </c>
      <c r="G12" s="32" t="n">
        <f aca="false">F12*G8</f>
        <v>0</v>
      </c>
      <c r="H12" s="29" t="n">
        <v>0</v>
      </c>
      <c r="I12" s="31" t="n">
        <f aca="false">H12*I8</f>
        <v>0</v>
      </c>
      <c r="J12" s="29" t="n">
        <v>0</v>
      </c>
      <c r="K12" s="32" t="n">
        <f aca="false">J12*K8</f>
        <v>0</v>
      </c>
      <c r="L12" s="27" t="n">
        <v>0</v>
      </c>
      <c r="M12" s="31" t="n">
        <f aca="false">L12*M8</f>
        <v>0</v>
      </c>
      <c r="N12" s="29" t="n">
        <v>0</v>
      </c>
      <c r="O12" s="32" t="n">
        <f aca="false">N12*O8</f>
        <v>0</v>
      </c>
      <c r="P12" s="33" t="n">
        <f aca="false">L12+N12+J12+H12+F12+D12</f>
        <v>0</v>
      </c>
    </row>
    <row r="13" customFormat="false" ht="15.75" hidden="false" customHeight="false" outlineLevel="0" collapsed="false">
      <c r="B13" s="25" t="str">
        <f aca="false">TEXT(C13,"dddd")</f>
        <v>Saturday</v>
      </c>
      <c r="C13" s="26"/>
      <c r="D13" s="27" t="n">
        <v>0</v>
      </c>
      <c r="E13" s="28" t="n">
        <f aca="false">D13*E8</f>
        <v>0</v>
      </c>
      <c r="F13" s="29" t="n">
        <v>0</v>
      </c>
      <c r="G13" s="32" t="n">
        <f aca="false">F13*G8</f>
        <v>0</v>
      </c>
      <c r="H13" s="29" t="n">
        <v>0</v>
      </c>
      <c r="I13" s="31" t="n">
        <f aca="false">H13*I8</f>
        <v>0</v>
      </c>
      <c r="J13" s="29" t="n">
        <v>0</v>
      </c>
      <c r="K13" s="32" t="n">
        <f aca="false">J13*K8</f>
        <v>0</v>
      </c>
      <c r="L13" s="27" t="n">
        <v>0</v>
      </c>
      <c r="M13" s="31" t="n">
        <f aca="false">L13*M8</f>
        <v>0</v>
      </c>
      <c r="N13" s="29" t="n">
        <v>0</v>
      </c>
      <c r="O13" s="32" t="n">
        <f aca="false">N13*O8</f>
        <v>0</v>
      </c>
      <c r="P13" s="33" t="n">
        <f aca="false">L13+N13+J13+H13+F13+D13</f>
        <v>0</v>
      </c>
    </row>
    <row r="14" customFormat="false" ht="15.75" hidden="false" customHeight="false" outlineLevel="0" collapsed="false">
      <c r="B14" s="25" t="str">
        <f aca="false">TEXT(C14,"dddd")</f>
        <v>Saturday</v>
      </c>
      <c r="C14" s="26"/>
      <c r="D14" s="27" t="n">
        <v>0</v>
      </c>
      <c r="E14" s="28" t="n">
        <f aca="false">D14*E8</f>
        <v>0</v>
      </c>
      <c r="F14" s="29" t="n">
        <v>0</v>
      </c>
      <c r="G14" s="32" t="n">
        <f aca="false">F14*G8</f>
        <v>0</v>
      </c>
      <c r="H14" s="29" t="n">
        <v>0</v>
      </c>
      <c r="I14" s="31" t="n">
        <f aca="false">H14*I8</f>
        <v>0</v>
      </c>
      <c r="J14" s="29" t="n">
        <v>0</v>
      </c>
      <c r="K14" s="32" t="n">
        <f aca="false">J14*K8</f>
        <v>0</v>
      </c>
      <c r="L14" s="27" t="n">
        <v>0</v>
      </c>
      <c r="M14" s="31" t="n">
        <f aca="false">L14*M8</f>
        <v>0</v>
      </c>
      <c r="N14" s="29" t="n">
        <v>0</v>
      </c>
      <c r="O14" s="32" t="n">
        <f aca="false">N14*O8</f>
        <v>0</v>
      </c>
      <c r="P14" s="33" t="n">
        <f aca="false">L14+N14+J14+H14+F14+D14</f>
        <v>0</v>
      </c>
    </row>
    <row r="15" customFormat="false" ht="15.75" hidden="false" customHeight="false" outlineLevel="0" collapsed="false">
      <c r="B15" s="34" t="str">
        <f aca="false">TEXT(C15,"dddd")</f>
        <v>Saturday</v>
      </c>
      <c r="C15" s="26"/>
      <c r="D15" s="35" t="n">
        <v>0</v>
      </c>
      <c r="E15" s="36" t="n">
        <f aca="false">D15*E8</f>
        <v>0</v>
      </c>
      <c r="F15" s="37" t="n">
        <v>0</v>
      </c>
      <c r="G15" s="38" t="n">
        <f aca="false">F15*G8</f>
        <v>0</v>
      </c>
      <c r="H15" s="37" t="n">
        <v>0</v>
      </c>
      <c r="I15" s="39" t="n">
        <f aca="false">H15*I8</f>
        <v>0</v>
      </c>
      <c r="J15" s="37" t="n">
        <v>0</v>
      </c>
      <c r="K15" s="38" t="n">
        <f aca="false">J15*K8</f>
        <v>0</v>
      </c>
      <c r="L15" s="35" t="n">
        <v>0</v>
      </c>
      <c r="M15" s="39" t="n">
        <f aca="false">L15*M8</f>
        <v>0</v>
      </c>
      <c r="N15" s="37" t="n">
        <v>0</v>
      </c>
      <c r="O15" s="38" t="n">
        <f aca="false">N15*O8</f>
        <v>0</v>
      </c>
      <c r="P15" s="40" t="n">
        <f aca="false">L15+N15+J15+H15+F15+D15</f>
        <v>0</v>
      </c>
    </row>
    <row r="16" customFormat="false" ht="15.75" hidden="false" customHeight="false" outlineLevel="0" collapsed="false">
      <c r="B16" s="41" t="s">
        <v>16</v>
      </c>
      <c r="C16" s="41"/>
      <c r="D16" s="42" t="n">
        <f aca="false">SUM(E9:E15)</f>
        <v>0</v>
      </c>
      <c r="E16" s="42"/>
      <c r="F16" s="42" t="n">
        <f aca="false">SUM(G9:G15)</f>
        <v>0</v>
      </c>
      <c r="G16" s="42"/>
      <c r="H16" s="42" t="n">
        <f aca="false">SUM(I9:I15)</f>
        <v>0</v>
      </c>
      <c r="I16" s="42"/>
      <c r="J16" s="43" t="n">
        <f aca="false">SUM(K9:K15)</f>
        <v>0</v>
      </c>
      <c r="K16" s="43"/>
      <c r="L16" s="42" t="n">
        <f aca="false">SUM(M9:M15)</f>
        <v>0</v>
      </c>
      <c r="M16" s="42"/>
      <c r="N16" s="43" t="n">
        <f aca="false">SUM(O9:O15)</f>
        <v>0</v>
      </c>
      <c r="O16" s="43"/>
      <c r="P16" s="44" t="n">
        <f aca="false">SUM(P9:P15)</f>
        <v>0</v>
      </c>
    </row>
    <row r="17" customFormat="false" ht="15.75" hidden="false" customHeight="false" outlineLevel="0" collapsed="false">
      <c r="B17" s="45" t="s">
        <v>17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 t="n">
        <f aca="false">D17*5</f>
        <v>0</v>
      </c>
      <c r="O17" s="47"/>
      <c r="P17" s="47"/>
    </row>
    <row r="18" customFormat="false" ht="15.75" hidden="false" customHeight="false" outlineLevel="0" collapsed="false">
      <c r="B18" s="48" t="s">
        <v>18</v>
      </c>
      <c r="C18" s="49" t="n">
        <v>0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50" t="n">
        <f aca="false">C18*3</f>
        <v>0</v>
      </c>
      <c r="O18" s="50"/>
      <c r="P18" s="50"/>
    </row>
    <row r="19" customFormat="false" ht="15.75" hidden="false" customHeight="false" outlineLevel="0" collapsed="false">
      <c r="B19" s="48" t="s">
        <v>19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0" t="n">
        <v>0</v>
      </c>
      <c r="O19" s="50"/>
      <c r="P19" s="50"/>
    </row>
    <row r="20" customFormat="false" ht="15.75" hidden="false" customHeight="false" outlineLevel="0" collapsed="false">
      <c r="B20" s="52" t="s">
        <v>20</v>
      </c>
      <c r="C20" s="53" t="n">
        <v>0</v>
      </c>
      <c r="D20" s="53"/>
      <c r="E20" s="53"/>
      <c r="F20" s="53"/>
      <c r="G20" s="54" t="s">
        <v>21</v>
      </c>
      <c r="H20" s="54"/>
      <c r="I20" s="54"/>
      <c r="J20" s="54"/>
      <c r="K20" s="53" t="n">
        <v>0</v>
      </c>
      <c r="L20" s="53"/>
      <c r="M20" s="53"/>
      <c r="N20" s="55" t="n">
        <f aca="false">C20+C21+K20+K21</f>
        <v>0</v>
      </c>
      <c r="O20" s="55"/>
      <c r="P20" s="55"/>
    </row>
    <row r="21" customFormat="false" ht="15.75" hidden="false" customHeight="false" outlineLevel="0" collapsed="false">
      <c r="B21" s="52" t="s">
        <v>22</v>
      </c>
      <c r="C21" s="56" t="n">
        <v>0</v>
      </c>
      <c r="D21" s="56"/>
      <c r="E21" s="56"/>
      <c r="F21" s="56"/>
      <c r="G21" s="57" t="s">
        <v>23</v>
      </c>
      <c r="H21" s="57"/>
      <c r="I21" s="57"/>
      <c r="J21" s="57"/>
      <c r="K21" s="58" t="n">
        <v>0</v>
      </c>
      <c r="L21" s="58"/>
      <c r="M21" s="58"/>
      <c r="N21" s="55"/>
      <c r="O21" s="55"/>
      <c r="P21" s="55"/>
    </row>
    <row r="22" customFormat="false" ht="15.75" hidden="false" customHeight="false" outlineLevel="0" collapsed="false">
      <c r="B22" s="59" t="s">
        <v>24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60" t="n">
        <v>0</v>
      </c>
      <c r="O22" s="60"/>
      <c r="P22" s="60"/>
    </row>
    <row r="23" customFormat="false" ht="17.35" hidden="false" customHeight="false" outlineLevel="0" collapsed="false">
      <c r="B23" s="61" t="s">
        <v>25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2" t="n">
        <f aca="false">SUM(D16:N18)-SUM(N19:P22)</f>
        <v>0</v>
      </c>
      <c r="O23" s="62"/>
      <c r="P23" s="62"/>
    </row>
    <row r="24" customFormat="false" ht="15.75" hidden="false" customHeight="false" outlineLevel="0" collapsed="false">
      <c r="B24" s="63" t="s">
        <v>26</v>
      </c>
      <c r="C24" s="64"/>
      <c r="D24" s="64"/>
      <c r="E24" s="64"/>
      <c r="F24" s="65"/>
      <c r="G24" s="65"/>
      <c r="H24" s="65"/>
      <c r="I24" s="66" t="s">
        <v>27</v>
      </c>
      <c r="J24" s="65"/>
      <c r="K24" s="65"/>
      <c r="L24" s="67"/>
      <c r="M24" s="67"/>
      <c r="N24" s="67"/>
      <c r="O24" s="67"/>
      <c r="P24" s="67"/>
    </row>
    <row r="25" customFormat="false" ht="15.75" hidden="false" customHeight="false" outlineLevel="0" collapsed="false">
      <c r="B25" s="68" t="s">
        <v>28</v>
      </c>
      <c r="C25" s="69"/>
      <c r="D25" s="69"/>
      <c r="E25" s="69"/>
      <c r="F25" s="69"/>
      <c r="G25" s="69"/>
      <c r="H25" s="69"/>
      <c r="I25" s="70" t="s">
        <v>29</v>
      </c>
      <c r="J25" s="70"/>
      <c r="K25" s="70"/>
      <c r="L25" s="71"/>
      <c r="M25" s="71"/>
      <c r="N25" s="71"/>
      <c r="O25" s="71"/>
      <c r="P25" s="71"/>
    </row>
  </sheetData>
  <mergeCells count="45">
    <mergeCell ref="B2:P2"/>
    <mergeCell ref="B3:P3"/>
    <mergeCell ref="C4:I4"/>
    <mergeCell ref="J4:P4"/>
    <mergeCell ref="C5:I5"/>
    <mergeCell ref="J5:K5"/>
    <mergeCell ref="L5:P5"/>
    <mergeCell ref="C6:I6"/>
    <mergeCell ref="J6:K6"/>
    <mergeCell ref="L6:P6"/>
    <mergeCell ref="B7:B8"/>
    <mergeCell ref="C7:C8"/>
    <mergeCell ref="D7:G7"/>
    <mergeCell ref="H7:K7"/>
    <mergeCell ref="L7:O7"/>
    <mergeCell ref="P7:P8"/>
    <mergeCell ref="B16:C16"/>
    <mergeCell ref="D16:E16"/>
    <mergeCell ref="F16:G16"/>
    <mergeCell ref="H16:I16"/>
    <mergeCell ref="J16:K16"/>
    <mergeCell ref="L16:M16"/>
    <mergeCell ref="N16:O16"/>
    <mergeCell ref="C17:M17"/>
    <mergeCell ref="N17:P17"/>
    <mergeCell ref="C18:M18"/>
    <mergeCell ref="N18:P18"/>
    <mergeCell ref="C19:M19"/>
    <mergeCell ref="N19:P19"/>
    <mergeCell ref="C20:F20"/>
    <mergeCell ref="G20:J20"/>
    <mergeCell ref="K20:M20"/>
    <mergeCell ref="N20:P21"/>
    <mergeCell ref="C21:F21"/>
    <mergeCell ref="G21:J21"/>
    <mergeCell ref="K21:M21"/>
    <mergeCell ref="B22:M22"/>
    <mergeCell ref="N22:P22"/>
    <mergeCell ref="B23:M23"/>
    <mergeCell ref="N23:P23"/>
    <mergeCell ref="C24:E24"/>
    <mergeCell ref="L24:P24"/>
    <mergeCell ref="C25:E25"/>
    <mergeCell ref="I25:K25"/>
    <mergeCell ref="L25:P25"/>
  </mergeCells>
  <dataValidations count="4">
    <dataValidation allowBlank="true" errorStyle="stop" operator="between" showDropDown="false" showErrorMessage="true" showInputMessage="false" sqref="C24" type="list">
      <formula1>"INCOMPLETE,COMPLETE"</formula1>
      <formula2>0</formula2>
    </dataValidation>
    <dataValidation allowBlank="true" errorStyle="stop" operator="between" showDropDown="false" showErrorMessage="true" showInputMessage="false" sqref="L24" type="list">
      <formula1>"TRANSFERRED,HOLD"</formula1>
      <formula2>0</formula2>
    </dataValidation>
    <dataValidation allowBlank="true" errorStyle="stop" operator="between" showDropDown="false" showErrorMessage="true" showInputMessage="false" sqref="C25" type="list">
      <formula1>"WITH LETTER,NOT APPLICBLE,NO LETTER"</formula1>
      <formula2>0</formula2>
    </dataValidation>
    <dataValidation allowBlank="true" errorStyle="stop" operator="between" showDropDown="false" showErrorMessage="true" showInputMessage="false" sqref="L25" type="list">
      <formula1>"RESIGNED,HOLD FOR CLAIMS,ONHOLD PARCELS,REMITTANCE"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2026-07-08T10:34:20Z</dcterms:created>
  <dc:creator>openpyxl</dc:creator>
  <dc:description/>
  <dc:language>en-US</dc:language>
  <cp:lastModifiedBy/>
  <dcterms:modified xsi:type="dcterms:W3CDTF">2026-07-08T10:34:20Z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